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ctor\Documents\doc\"/>
    </mc:Choice>
  </mc:AlternateContent>
  <bookViews>
    <workbookView xWindow="120" yWindow="90" windowWidth="18915" windowHeight="8010" firstSheet="3" activeTab="3"/>
  </bookViews>
  <sheets>
    <sheet name="Hoja27" sheetId="34" r:id="rId1"/>
    <sheet name="Hoja24" sheetId="31" r:id="rId2"/>
    <sheet name="Hoja23" sheetId="30" r:id="rId3"/>
    <sheet name="Hoja6" sheetId="39" r:id="rId4"/>
    <sheet name="Hoja1" sheetId="1" r:id="rId5"/>
  </sheets>
  <calcPr calcId="162913"/>
</workbook>
</file>

<file path=xl/calcChain.xml><?xml version="1.0" encoding="utf-8"?>
<calcChain xmlns="http://schemas.openxmlformats.org/spreadsheetml/2006/main">
  <c r="C11" i="1" l="1"/>
  <c r="B11" i="1"/>
  <c r="D11" i="1"/>
  <c r="E11" i="1"/>
  <c r="F11" i="1"/>
  <c r="G11" i="1"/>
  <c r="H11" i="1"/>
  <c r="I11" i="1"/>
  <c r="J11" i="1"/>
  <c r="K11" i="1"/>
  <c r="C10" i="1"/>
  <c r="D10" i="1" s="1"/>
  <c r="E10" i="1" s="1"/>
  <c r="F10" i="1" s="1"/>
  <c r="G10" i="1" s="1"/>
  <c r="H10" i="1" s="1"/>
  <c r="I10" i="1" s="1"/>
  <c r="J10" i="1" s="1"/>
  <c r="K10" i="1" s="1"/>
  <c r="B13" i="1" l="1"/>
</calcChain>
</file>

<file path=xl/sharedStrings.xml><?xml version="1.0" encoding="utf-8"?>
<sst xmlns="http://schemas.openxmlformats.org/spreadsheetml/2006/main" count="73" uniqueCount="27">
  <si>
    <t xml:space="preserve">Datos de entrada </t>
  </si>
  <si>
    <t xml:space="preserve">2. Flujo de entrada al final del año </t>
  </si>
  <si>
    <t xml:space="preserve">3. tasa de incremento del flujo de entrada al año </t>
  </si>
  <si>
    <t xml:space="preserve">4. Número de años de los flujos de entrada </t>
  </si>
  <si>
    <t xml:space="preserve">5. tasa de descuento </t>
  </si>
  <si>
    <t>1. Flujo de salida al inicio al año (inversión inicial)</t>
  </si>
  <si>
    <t xml:space="preserve">Cálculo de el valor presente neto de una serie de flujos </t>
  </si>
  <si>
    <t xml:space="preserve">Modelo de Flujos </t>
  </si>
  <si>
    <t>Flujo de efectivo</t>
  </si>
  <si>
    <t xml:space="preserve">Año </t>
  </si>
  <si>
    <t xml:space="preserve">Factor de descuento </t>
  </si>
  <si>
    <t>(interés simple)</t>
  </si>
  <si>
    <t>Valor presente neto</t>
  </si>
  <si>
    <t>Datos de entrada</t>
  </si>
  <si>
    <t>Modelo de flujos</t>
  </si>
  <si>
    <t>Cálculo de el valor presente neto de una serie de flujos</t>
  </si>
  <si>
    <t>1.Flujo de salida al inicio al año (inversión inicial)</t>
  </si>
  <si>
    <t xml:space="preserve">2.Flujo de entrada al final del año </t>
  </si>
  <si>
    <t>3.Tasa de incremento del flujo de entrada al año</t>
  </si>
  <si>
    <t>4.Número de años de los flujos de entrada</t>
  </si>
  <si>
    <t>(Interés simple)</t>
  </si>
  <si>
    <t>5.Tasa de descuento</t>
  </si>
  <si>
    <t>Año</t>
  </si>
  <si>
    <t>Factor de descuento</t>
  </si>
  <si>
    <t>Valor Presente Neto</t>
  </si>
  <si>
    <t>Tasas de descuento</t>
  </si>
  <si>
    <t>VPN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</si>
</sst>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\ &quot;€&quot;_-;\-* #,##0.00\ &quot;€&quot;_-;_-* &quot;-&quot;??\ &quot;€&quot;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0" fillId="2" borderId="0" xfId="0" applyFill="1"/>
    <xf numFmtId="9" fontId="0" fillId="2" borderId="0" xfId="0" applyNumberFormat="1" applyFill="1"/>
    <xf numFmtId="0" fontId="0" fillId="3" borderId="0" xfId="0" applyFill="1"/>
    <xf numFmtId="164" fontId="0" fillId="3" borderId="0" xfId="1" applyFont="1" applyFill="1"/>
    <xf numFmtId="9" fontId="0" fillId="3" borderId="0" xfId="2" applyFont="1" applyFill="1"/>
    <xf numFmtId="9" fontId="0" fillId="0" borderId="0" xfId="2" applyFont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K20"/>
  <sheetViews>
    <sheetView workbookViewId="0">
      <selection activeCell="C14" sqref="C14"/>
    </sheetView>
  </sheetViews>
  <sheetFormatPr baseColWidth="10" defaultRowHeight="15" x14ac:dyDescent="0.25"/>
  <cols>
    <col min="1" max="1" width="23" customWidth="1"/>
    <col min="2" max="2" width="23.140625" customWidth="1"/>
  </cols>
  <sheetData>
    <row r="1" spans="1:11" x14ac:dyDescent="0.25">
      <c r="A1" s="1" t="s">
        <v>13</v>
      </c>
      <c r="D1" t="s">
        <v>15</v>
      </c>
    </row>
    <row r="2" spans="1:11" x14ac:dyDescent="0.25">
      <c r="A2" t="s">
        <v>16</v>
      </c>
      <c r="B2" s="5">
        <v>40000</v>
      </c>
    </row>
    <row r="3" spans="1:11" x14ac:dyDescent="0.25">
      <c r="A3" t="s">
        <v>17</v>
      </c>
      <c r="B3" s="5">
        <v>12000</v>
      </c>
    </row>
    <row r="4" spans="1:11" x14ac:dyDescent="0.25">
      <c r="A4" t="s">
        <v>18</v>
      </c>
      <c r="B4" s="6">
        <v>0.11999999731779099</v>
      </c>
    </row>
    <row r="5" spans="1:11" x14ac:dyDescent="0.25">
      <c r="A5" t="s">
        <v>19</v>
      </c>
      <c r="B5" s="4">
        <v>10</v>
      </c>
      <c r="C5" t="s">
        <v>20</v>
      </c>
    </row>
    <row r="6" spans="1:11" x14ac:dyDescent="0.25">
      <c r="A6" t="s">
        <v>21</v>
      </c>
      <c r="B6" s="6">
        <v>0.15999999642372131</v>
      </c>
    </row>
    <row r="8" spans="1:11" x14ac:dyDescent="0.25">
      <c r="A8" s="1" t="s">
        <v>14</v>
      </c>
    </row>
    <row r="9" spans="1:11" x14ac:dyDescent="0.25">
      <c r="A9" t="s">
        <v>22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A11" t="s">
        <v>23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24</v>
      </c>
      <c r="B13">
        <v>70040.837917748897</v>
      </c>
    </row>
    <row r="15" spans="1:11" x14ac:dyDescent="0.25">
      <c r="B15" s="1" t="s">
        <v>25</v>
      </c>
      <c r="C15" s="1" t="s">
        <v>26</v>
      </c>
    </row>
    <row r="16" spans="1:11" x14ac:dyDescent="0.25">
      <c r="C16">
        <v>16859.136215332033</v>
      </c>
    </row>
    <row r="17" spans="3:3" x14ac:dyDescent="0.25">
      <c r="C17">
        <v>16859.136215332033</v>
      </c>
    </row>
    <row r="18" spans="3:3" x14ac:dyDescent="0.25">
      <c r="C18">
        <v>16859.136215332033</v>
      </c>
    </row>
    <row r="19" spans="3:3" x14ac:dyDescent="0.25">
      <c r="C19">
        <v>16859.136215332033</v>
      </c>
    </row>
    <row r="20" spans="3:3" x14ac:dyDescent="0.25">
      <c r="C20">
        <v>16859.136215332033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K20"/>
  <sheetViews>
    <sheetView workbookViewId="0"/>
  </sheetViews>
  <sheetFormatPr baseColWidth="10" defaultRowHeight="15" x14ac:dyDescent="0.25"/>
  <cols>
    <col min="1" max="1" width="23" customWidth="1"/>
    <col min="2" max="2" width="23.140625" customWidth="1"/>
  </cols>
  <sheetData>
    <row r="1" spans="1:11" x14ac:dyDescent="0.25">
      <c r="A1" s="1" t="s">
        <v>13</v>
      </c>
      <c r="D1" t="s">
        <v>15</v>
      </c>
    </row>
    <row r="2" spans="1:11" x14ac:dyDescent="0.25">
      <c r="A2" t="s">
        <v>16</v>
      </c>
      <c r="B2" s="5">
        <v>40000</v>
      </c>
    </row>
    <row r="3" spans="1:11" x14ac:dyDescent="0.25">
      <c r="A3" t="s">
        <v>17</v>
      </c>
      <c r="B3" s="5">
        <v>12000</v>
      </c>
    </row>
    <row r="4" spans="1:11" x14ac:dyDescent="0.25">
      <c r="A4" t="s">
        <v>18</v>
      </c>
      <c r="B4" s="6">
        <v>0.11999999731779099</v>
      </c>
    </row>
    <row r="5" spans="1:11" x14ac:dyDescent="0.25">
      <c r="A5" t="s">
        <v>19</v>
      </c>
      <c r="B5" s="4">
        <v>10</v>
      </c>
      <c r="C5" t="s">
        <v>20</v>
      </c>
    </row>
    <row r="6" spans="1:11" x14ac:dyDescent="0.25">
      <c r="A6" t="s">
        <v>21</v>
      </c>
      <c r="B6" s="6">
        <v>0.15999999642372131</v>
      </c>
    </row>
    <row r="8" spans="1:11" x14ac:dyDescent="0.25">
      <c r="A8" s="1" t="s">
        <v>14</v>
      </c>
    </row>
    <row r="9" spans="1:11" x14ac:dyDescent="0.25">
      <c r="A9" t="s">
        <v>22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A11" t="s">
        <v>23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24</v>
      </c>
      <c r="B13">
        <v>70040.837917748897</v>
      </c>
    </row>
    <row r="15" spans="1:11" x14ac:dyDescent="0.25">
      <c r="B15" s="1" t="s">
        <v>25</v>
      </c>
      <c r="C15" s="1" t="s">
        <v>26</v>
      </c>
    </row>
    <row r="16" spans="1:11" x14ac:dyDescent="0.25">
      <c r="C16">
        <v>0</v>
      </c>
    </row>
    <row r="17" spans="3:3" x14ac:dyDescent="0.25">
      <c r="C17">
        <v>0</v>
      </c>
    </row>
    <row r="18" spans="3:3" x14ac:dyDescent="0.25">
      <c r="C18">
        <v>0</v>
      </c>
    </row>
    <row r="19" spans="3:3" x14ac:dyDescent="0.25">
      <c r="C19">
        <v>0</v>
      </c>
    </row>
    <row r="20" spans="3:3" x14ac:dyDescent="0.25">
      <c r="C20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K19"/>
  <sheetViews>
    <sheetView workbookViewId="0"/>
  </sheetViews>
  <sheetFormatPr baseColWidth="10" defaultRowHeight="15" x14ac:dyDescent="0.25"/>
  <cols>
    <col min="1" max="1" width="23" customWidth="1"/>
    <col min="2" max="2" width="23.140625" customWidth="1"/>
  </cols>
  <sheetData>
    <row r="1" spans="1:11" x14ac:dyDescent="0.25">
      <c r="A1" s="1" t="s">
        <v>13</v>
      </c>
      <c r="D1" t="s">
        <v>15</v>
      </c>
    </row>
    <row r="2" spans="1:11" x14ac:dyDescent="0.25">
      <c r="A2" t="s">
        <v>16</v>
      </c>
      <c r="B2" s="5">
        <v>40000</v>
      </c>
    </row>
    <row r="3" spans="1:11" x14ac:dyDescent="0.25">
      <c r="A3" t="s">
        <v>17</v>
      </c>
      <c r="B3" s="5">
        <v>12000</v>
      </c>
    </row>
    <row r="4" spans="1:11" x14ac:dyDescent="0.25">
      <c r="A4" t="s">
        <v>18</v>
      </c>
      <c r="B4" s="6">
        <v>0.11999999731779099</v>
      </c>
    </row>
    <row r="5" spans="1:11" x14ac:dyDescent="0.25">
      <c r="A5" t="s">
        <v>19</v>
      </c>
      <c r="B5" s="4">
        <v>10</v>
      </c>
      <c r="C5" t="s">
        <v>20</v>
      </c>
    </row>
    <row r="6" spans="1:11" x14ac:dyDescent="0.25">
      <c r="A6" t="s">
        <v>21</v>
      </c>
      <c r="B6" s="6">
        <v>0.15999999642372131</v>
      </c>
    </row>
    <row r="8" spans="1:11" x14ac:dyDescent="0.25">
      <c r="A8" s="1" t="s">
        <v>14</v>
      </c>
    </row>
    <row r="9" spans="1:11" x14ac:dyDescent="0.25">
      <c r="A9" t="s">
        <v>22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A11" t="s">
        <v>23</v>
      </c>
      <c r="B11">
        <v>0.86206901073455811</v>
      </c>
      <c r="C11">
        <v>0.75757580995559692</v>
      </c>
      <c r="D11">
        <v>0.67567569017410278</v>
      </c>
      <c r="E11">
        <v>0.60975611209869385</v>
      </c>
      <c r="F11">
        <v>0.55555558204650879</v>
      </c>
      <c r="G11">
        <v>0.51020407676696777</v>
      </c>
      <c r="H11">
        <v>0.47169813513755798</v>
      </c>
      <c r="I11">
        <v>0.43859648704528809</v>
      </c>
      <c r="J11">
        <v>0.4098360538482666</v>
      </c>
      <c r="K11">
        <v>0.38461539149284363</v>
      </c>
    </row>
    <row r="13" spans="1:11" x14ac:dyDescent="0.25">
      <c r="A13" t="s">
        <v>24</v>
      </c>
      <c r="B13">
        <v>70040.837917748897</v>
      </c>
    </row>
    <row r="15" spans="1:11" x14ac:dyDescent="0.25">
      <c r="B15" s="1" t="s">
        <v>25</v>
      </c>
      <c r="C15" s="1" t="s">
        <v>26</v>
      </c>
    </row>
    <row r="16" spans="1:11" x14ac:dyDescent="0.25">
      <c r="C16">
        <v>0</v>
      </c>
    </row>
    <row r="17" spans="3:3" x14ac:dyDescent="0.25">
      <c r="C17">
        <v>0</v>
      </c>
    </row>
    <row r="18" spans="3:3" x14ac:dyDescent="0.25">
      <c r="C18">
        <v>0</v>
      </c>
    </row>
    <row r="19" spans="3:3" x14ac:dyDescent="0.25">
      <c r="C1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20"/>
  <sheetViews>
    <sheetView tabSelected="1" workbookViewId="0"/>
  </sheetViews>
  <sheetFormatPr baseColWidth="10" defaultRowHeight="15" x14ac:dyDescent="0.25"/>
  <cols>
    <col min="1" max="1" width="23" customWidth="1"/>
    <col min="2" max="2" width="23.140625" customWidth="1"/>
  </cols>
  <sheetData>
    <row r="1" spans="1:11" x14ac:dyDescent="0.25">
      <c r="A1" s="1" t="s">
        <v>13</v>
      </c>
      <c r="D1" t="s">
        <v>15</v>
      </c>
    </row>
    <row r="2" spans="1:11" x14ac:dyDescent="0.25">
      <c r="A2" t="s">
        <v>16</v>
      </c>
      <c r="B2" s="5">
        <v>40000</v>
      </c>
    </row>
    <row r="3" spans="1:11" x14ac:dyDescent="0.25">
      <c r="A3" t="s">
        <v>17</v>
      </c>
      <c r="B3" s="5">
        <v>12000</v>
      </c>
    </row>
    <row r="4" spans="1:11" x14ac:dyDescent="0.25">
      <c r="A4" t="s">
        <v>18</v>
      </c>
      <c r="B4" s="6">
        <v>0.11999999731779099</v>
      </c>
    </row>
    <row r="5" spans="1:11" x14ac:dyDescent="0.25">
      <c r="A5" t="s">
        <v>19</v>
      </c>
      <c r="B5" s="4">
        <v>10</v>
      </c>
      <c r="C5" t="s">
        <v>20</v>
      </c>
    </row>
    <row r="6" spans="1:11" x14ac:dyDescent="0.25">
      <c r="A6" t="s">
        <v>21</v>
      </c>
      <c r="B6" s="6">
        <v>0.15999999642372131</v>
      </c>
    </row>
    <row r="8" spans="1:11" x14ac:dyDescent="0.25">
      <c r="A8" s="1" t="s">
        <v>14</v>
      </c>
    </row>
    <row r="9" spans="1:11" x14ac:dyDescent="0.25">
      <c r="A9" t="s">
        <v>22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>
        <v>12000</v>
      </c>
      <c r="C10">
        <v>13440.000057220459</v>
      </c>
      <c r="D10">
        <v>15052.800128173829</v>
      </c>
      <c r="E10">
        <v>16859.136215332033</v>
      </c>
      <c r="F10">
        <v>18882.232641562499</v>
      </c>
      <c r="G10">
        <v>21148.100648587504</v>
      </c>
      <c r="H10">
        <v>23685.872827260006</v>
      </c>
      <c r="I10">
        <v>26528.177679474251</v>
      </c>
      <c r="J10">
        <v>29711.559127507371</v>
      </c>
      <c r="K10">
        <v>33276.946364484007</v>
      </c>
    </row>
    <row r="11" spans="1:11" x14ac:dyDescent="0.25">
      <c r="A11" t="s">
        <v>23</v>
      </c>
      <c r="B11">
        <v>0.98039215686274506</v>
      </c>
      <c r="C11">
        <v>0.96153846153846145</v>
      </c>
      <c r="D11">
        <v>0.94339622641509424</v>
      </c>
      <c r="E11">
        <v>0.92592592592592582</v>
      </c>
      <c r="F11">
        <v>0.90909090909090906</v>
      </c>
      <c r="G11">
        <v>0.89285714285714279</v>
      </c>
      <c r="H11">
        <v>0.8771929824561403</v>
      </c>
      <c r="I11">
        <v>0.86206896551724144</v>
      </c>
      <c r="J11">
        <v>0.84745762711864414</v>
      </c>
      <c r="K11">
        <v>0.83333333333333337</v>
      </c>
    </row>
    <row r="13" spans="1:11" x14ac:dyDescent="0.25">
      <c r="A13" t="s">
        <v>24</v>
      </c>
      <c r="B13">
        <v>70040.837917748897</v>
      </c>
    </row>
    <row r="15" spans="1:11" x14ac:dyDescent="0.25">
      <c r="B15" s="1" t="s">
        <v>25</v>
      </c>
      <c r="C15" s="1" t="s">
        <v>26</v>
      </c>
    </row>
    <row r="16" spans="1:11" x14ac:dyDescent="0.25">
      <c r="B16" s="7">
        <v>0.03</v>
      </c>
      <c r="C16">
        <v>137495.26394972438</v>
      </c>
    </row>
    <row r="17" spans="2:3" x14ac:dyDescent="0.25">
      <c r="B17" s="7">
        <v>0.15</v>
      </c>
      <c r="C17">
        <v>73178.214389298257</v>
      </c>
    </row>
    <row r="18" spans="2:3" x14ac:dyDescent="0.25">
      <c r="B18" s="7">
        <v>0.3</v>
      </c>
      <c r="C18">
        <v>40114.7225737642</v>
      </c>
    </row>
    <row r="19" spans="2:3" x14ac:dyDescent="0.25">
      <c r="B19" s="7">
        <v>0.2</v>
      </c>
      <c r="C19">
        <v>59203.92176129861</v>
      </c>
    </row>
    <row r="20" spans="2:3" x14ac:dyDescent="0.25">
      <c r="B20" s="7">
        <v>0.02</v>
      </c>
      <c r="C20">
        <v>147103.02391846493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3"/>
  <sheetViews>
    <sheetView workbookViewId="0">
      <selection activeCell="A27" sqref="A27"/>
    </sheetView>
  </sheetViews>
  <sheetFormatPr baseColWidth="10" defaultRowHeight="15" x14ac:dyDescent="0.25"/>
  <cols>
    <col min="1" max="1" width="23" customWidth="1"/>
    <col min="2" max="2" width="23.140625" customWidth="1"/>
    <col min="3" max="3" width="15.85546875" customWidth="1"/>
    <col min="4" max="4" width="11.28515625" customWidth="1"/>
  </cols>
  <sheetData>
    <row r="1" spans="1:11" x14ac:dyDescent="0.25">
      <c r="A1" s="1" t="s">
        <v>0</v>
      </c>
      <c r="D1" t="s">
        <v>6</v>
      </c>
    </row>
    <row r="2" spans="1:11" x14ac:dyDescent="0.25">
      <c r="A2" t="s">
        <v>5</v>
      </c>
      <c r="B2" s="2">
        <v>40000</v>
      </c>
    </row>
    <row r="3" spans="1:11" x14ac:dyDescent="0.25">
      <c r="A3" t="s">
        <v>1</v>
      </c>
      <c r="B3" s="2">
        <v>12000</v>
      </c>
    </row>
    <row r="4" spans="1:11" x14ac:dyDescent="0.25">
      <c r="A4" t="s">
        <v>2</v>
      </c>
      <c r="B4" s="3">
        <v>0.12</v>
      </c>
    </row>
    <row r="5" spans="1:11" x14ac:dyDescent="0.25">
      <c r="A5" t="s">
        <v>3</v>
      </c>
      <c r="B5" s="2">
        <v>10</v>
      </c>
    </row>
    <row r="6" spans="1:11" x14ac:dyDescent="0.25">
      <c r="A6" t="s">
        <v>4</v>
      </c>
      <c r="B6" s="3">
        <v>0.16</v>
      </c>
      <c r="C6" t="s">
        <v>11</v>
      </c>
    </row>
    <row r="8" spans="1:11" x14ac:dyDescent="0.25">
      <c r="A8" s="1" t="s">
        <v>7</v>
      </c>
    </row>
    <row r="9" spans="1:11" x14ac:dyDescent="0.25">
      <c r="A9" t="s">
        <v>9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1" x14ac:dyDescent="0.25">
      <c r="A10" t="s">
        <v>8</v>
      </c>
      <c r="B10">
        <v>12000</v>
      </c>
      <c r="C10">
        <f>B10*(1+$B$4)</f>
        <v>13440.000000000002</v>
      </c>
      <c r="D10">
        <f t="shared" ref="D10:K10" si="0">C10*(1+$B$4)</f>
        <v>15052.800000000003</v>
      </c>
      <c r="E10">
        <f t="shared" si="0"/>
        <v>16859.136000000006</v>
      </c>
      <c r="F10">
        <f t="shared" si="0"/>
        <v>18882.23232000001</v>
      </c>
      <c r="G10">
        <f t="shared" si="0"/>
        <v>21148.100198400014</v>
      </c>
      <c r="H10">
        <f t="shared" si="0"/>
        <v>23685.872222208018</v>
      </c>
      <c r="I10">
        <f t="shared" si="0"/>
        <v>26528.176888872982</v>
      </c>
      <c r="J10">
        <f t="shared" si="0"/>
        <v>29711.558115537744</v>
      </c>
      <c r="K10">
        <f t="shared" si="0"/>
        <v>33276.945089402274</v>
      </c>
    </row>
    <row r="11" spans="1:11" x14ac:dyDescent="0.25">
      <c r="A11" t="s">
        <v>10</v>
      </c>
      <c r="B11">
        <f>1/(1+B9*$B$6)</f>
        <v>0.86206896551724144</v>
      </c>
      <c r="C11">
        <f>1/(1+C9*$B$6)</f>
        <v>0.75757575757575757</v>
      </c>
      <c r="D11">
        <f t="shared" ref="D11:K11" si="1">1/(1+D9*$B$6)</f>
        <v>0.67567567567567566</v>
      </c>
      <c r="E11">
        <f t="shared" si="1"/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1" x14ac:dyDescent="0.25">
      <c r="A13" t="s">
        <v>12</v>
      </c>
      <c r="B13">
        <f>-B2+B10*B11+C10*C11+D10*D11+E10*E11+F10*F11+G10*G11+H10*H11+I10*I11+J10*J11+K10*K11</f>
        <v>70040.833314664094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Hoja27</vt:lpstr>
      <vt:lpstr>Hoja24</vt:lpstr>
      <vt:lpstr>Hoja23</vt:lpstr>
      <vt:lpstr>Hoja6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Victor</cp:lastModifiedBy>
  <dcterms:created xsi:type="dcterms:W3CDTF">2019-02-13T19:16:09Z</dcterms:created>
  <dcterms:modified xsi:type="dcterms:W3CDTF">2019-03-13T23:57:23Z</dcterms:modified>
</cp:coreProperties>
</file>